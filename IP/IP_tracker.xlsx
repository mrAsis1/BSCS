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arch\Downloads\"/>
    </mc:Choice>
  </mc:AlternateContent>
  <xr:revisionPtr revIDLastSave="0" documentId="13_ncr:1_{5BCF446F-3684-466F-A2A0-A22EFDA0F994}" xr6:coauthVersionLast="47" xr6:coauthVersionMax="47" xr10:uidLastSave="{00000000-0000-0000-0000-000000000000}"/>
  <bookViews>
    <workbookView xWindow="-120" yWindow="-120" windowWidth="29040" windowHeight="16440" xr2:uid="{4F8048A2-C812-421E-8D0F-D3226A57A30D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0" i="1" l="1"/>
  <c r="W21" i="1"/>
  <c r="N8" i="1"/>
  <c r="H8" i="1"/>
  <c r="M5" i="1"/>
  <c r="M4" i="1"/>
  <c r="G5" i="1"/>
  <c r="H5" i="1" s="1"/>
  <c r="G4" i="1"/>
  <c r="W10" i="1" l="1"/>
  <c r="W9" i="1"/>
  <c r="W8" i="1"/>
  <c r="W5" i="1"/>
  <c r="W6" i="1"/>
  <c r="W7" i="1"/>
  <c r="W12" i="1"/>
  <c r="W13" i="1"/>
  <c r="W14" i="1"/>
  <c r="W15" i="1"/>
  <c r="W16" i="1"/>
  <c r="W17" i="1"/>
  <c r="W18" i="1"/>
  <c r="W4" i="1"/>
  <c r="N9" i="1" l="1"/>
  <c r="H9" i="1"/>
  <c r="N5" i="1"/>
  <c r="H6" i="1"/>
  <c r="N6" i="1"/>
  <c r="N11" i="1" l="1"/>
  <c r="H11" i="1"/>
  <c r="K13" i="1" l="1"/>
  <c r="K14" i="1" s="1" a="1"/>
  <c r="K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<sst xmlns="http://schemas.openxmlformats.org/spreadsheetml/2006/main" count="48" uniqueCount="33">
  <si>
    <t>M1</t>
  </si>
  <si>
    <t>M2</t>
  </si>
  <si>
    <t>M3</t>
  </si>
  <si>
    <t>M4</t>
  </si>
  <si>
    <t>M5</t>
  </si>
  <si>
    <t>Total</t>
  </si>
  <si>
    <t>Score</t>
  </si>
  <si>
    <t>Lab Exer 1</t>
  </si>
  <si>
    <t>Lab Exer 2</t>
  </si>
  <si>
    <t>Lab Exer 3</t>
  </si>
  <si>
    <t>Lab Exer 4</t>
  </si>
  <si>
    <t>Lab Exer 5</t>
  </si>
  <si>
    <t>Lab Exer 6</t>
  </si>
  <si>
    <t>Lab Exer 7</t>
  </si>
  <si>
    <t>Lab Exam 1</t>
  </si>
  <si>
    <t>Lab Exam 2</t>
  </si>
  <si>
    <t>Percentage</t>
  </si>
  <si>
    <t>Midterm</t>
  </si>
  <si>
    <t>Final</t>
  </si>
  <si>
    <t>Weighted</t>
  </si>
  <si>
    <t>Category</t>
  </si>
  <si>
    <t>INPUT</t>
  </si>
  <si>
    <t>Final Grade</t>
  </si>
  <si>
    <t>Midter</t>
  </si>
  <si>
    <t>Attendance</t>
  </si>
  <si>
    <t>Quizzes</t>
  </si>
  <si>
    <t>Term Exams</t>
  </si>
  <si>
    <t>Midterm Grade</t>
  </si>
  <si>
    <t>Subject Grade</t>
  </si>
  <si>
    <t>Lecture</t>
  </si>
  <si>
    <t>LabExercise</t>
  </si>
  <si>
    <t>LabPracticalExam</t>
  </si>
  <si>
    <t>Laboratory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</si>
</sst>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0000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9" fontId="3" fillId="0" borderId="1" xfId="1" applyFont="1" applyBorder="1"/>
    <xf numFmtId="10" fontId="3" fillId="0" borderId="1" xfId="0" applyNumberFormat="1" applyFont="1" applyBorder="1"/>
    <xf numFmtId="9" fontId="3" fillId="0" borderId="1" xfId="0" applyNumberFormat="1" applyFont="1" applyBorder="1"/>
    <xf numFmtId="164" fontId="3" fillId="0" borderId="0" xfId="0" applyNumberFormat="1" applyFont="1"/>
    <xf numFmtId="165" fontId="3" fillId="0" borderId="0" xfId="0" applyNumberFormat="1" applyFont="1"/>
    <xf numFmtId="10" fontId="3" fillId="0" borderId="2" xfId="0" applyNumberFormat="1" applyFont="1" applyBorder="1"/>
    <xf numFmtId="9" fontId="3" fillId="0" borderId="0" xfId="0" applyNumberFormat="1" applyFont="1"/>
    <xf numFmtId="9" fontId="3" fillId="0" borderId="0" xfId="1" applyFont="1" applyBorder="1"/>
    <xf numFmtId="10" fontId="3" fillId="0" borderId="0" xfId="0" applyNumberFormat="1" applyFont="1"/>
    <xf numFmtId="164" fontId="3" fillId="0" borderId="1" xfId="0" applyNumberFormat="1" applyFont="1" applyBorder="1"/>
    <xf numFmtId="10" fontId="3" fillId="0" borderId="1" xfId="1" applyNumberFormat="1" applyFont="1" applyBorder="1"/>
    <xf numFmtId="0" fontId="3" fillId="0" borderId="2" xfId="0" applyFont="1" applyBorder="1"/>
    <xf numFmtId="164" fontId="3" fillId="0" borderId="2" xfId="0" applyNumberFormat="1" applyFont="1" applyBorder="1"/>
    <xf numFmtId="9" fontId="3" fillId="0" borderId="2" xfId="1" applyFont="1" applyBorder="1"/>
    <xf numFmtId="10" fontId="3" fillId="0" borderId="2" xfId="1" applyNumberFormat="1" applyFont="1" applyBorder="1"/>
    <xf numFmtId="10" fontId="3" fillId="0" borderId="4" xfId="0" applyNumberFormat="1" applyFont="1" applyBorder="1"/>
    <xf numFmtId="0" fontId="3" fillId="0" borderId="3" xfId="0" applyFont="1" applyBorder="1" applyAlignment="1">
      <alignment vertical="center"/>
    </xf>
    <xf numFmtId="0" fontId="4" fillId="0" borderId="0" xfId="0" applyFont="1"/>
    <xf numFmtId="0" fontId="4" fillId="0" borderId="4" xfId="0" applyFont="1" applyBorder="1"/>
    <xf numFmtId="10" fontId="4" fillId="0" borderId="0" xfId="0" applyNumberFormat="1" applyFont="1"/>
    <xf numFmtId="0" fontId="3" fillId="2" borderId="0" xfId="0" applyFont="1" applyFill="1"/>
    <xf numFmtId="0" fontId="3" fillId="0" borderId="5" xfId="0" applyFont="1" applyBorder="1"/>
    <xf numFmtId="9" fontId="3" fillId="0" borderId="5" xfId="1" applyFont="1" applyBorder="1"/>
    <xf numFmtId="0" fontId="3" fillId="0" borderId="6" xfId="0" applyFont="1" applyBorder="1"/>
    <xf numFmtId="9" fontId="3" fillId="0" borderId="6" xfId="1" applyFont="1" applyBorder="1"/>
    <xf numFmtId="0" fontId="3" fillId="0" borderId="7" xfId="0" applyFont="1" applyBorder="1"/>
    <xf numFmtId="9" fontId="3" fillId="0" borderId="7" xfId="1" applyFont="1" applyBorder="1"/>
    <xf numFmtId="9" fontId="4" fillId="0" borderId="0" xfId="0" applyNumberFormat="1" applyFont="1"/>
    <xf numFmtId="0" fontId="3" fillId="2" borderId="1" xfId="1" applyNumberFormat="1" applyFont="1" applyFill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D21F-A7BB-43BE-A4AB-A7D3CA9B4831}">
  <dimension ref="A2:W21"/>
  <sheetViews>
    <sheetView tabSelected="1" topLeftCell="D1" zoomScale="115" zoomScaleNormal="115" workbookViewId="0">
      <selection activeCell="T28" sqref="T28"/>
    </sheetView>
  </sheetViews>
  <sheetFormatPr defaultColWidth="8.85546875" defaultRowHeight="15" x14ac:dyDescent="0.2"/>
  <cols>
    <col min="1" max="1" width="12.7109375" style="1" bestFit="1" customWidth="1"/>
    <col min="2" max="2" width="13.28515625" style="1" bestFit="1" customWidth="1"/>
    <col min="3" max="3" width="10.85546875" style="1" bestFit="1" customWidth="1"/>
    <col min="4" max="4" width="10.85546875" style="1" customWidth="1"/>
    <col min="5" max="5" width="17.140625" style="1" customWidth="1"/>
    <col min="6" max="6" width="18.5703125" style="1" customWidth="1"/>
    <col min="7" max="7" width="11.7109375" style="1" customWidth="1"/>
    <col min="8" max="10" width="10.28515625" style="1" customWidth="1"/>
    <col min="11" max="11" width="11.7109375" style="1" customWidth="1"/>
    <col min="12" max="12" width="19.140625" style="1" customWidth="1"/>
    <col min="13" max="13" width="11.85546875" style="1" customWidth="1"/>
    <col min="14" max="14" width="9.85546875" style="1" customWidth="1"/>
    <col min="15" max="15" width="8.28515625" style="1" customWidth="1"/>
    <col min="16" max="19" width="8.85546875" style="1"/>
    <col min="20" max="20" width="12.7109375" style="1" bestFit="1" customWidth="1"/>
    <col min="21" max="21" width="6.28515625" style="1" bestFit="1" customWidth="1"/>
    <col min="22" max="22" width="7.140625" style="1" bestFit="1" customWidth="1"/>
    <col min="23" max="23" width="12.85546875" style="1" bestFit="1" customWidth="1"/>
    <col min="24" max="16384" width="8.85546875" style="1"/>
  </cols>
  <sheetData>
    <row r="2" spans="1:23" ht="15.75" x14ac:dyDescent="0.25">
      <c r="A2" s="21"/>
      <c r="B2" s="21"/>
      <c r="C2" s="21"/>
      <c r="D2" s="22"/>
      <c r="E2" s="38" t="s">
        <v>17</v>
      </c>
      <c r="F2" s="39"/>
      <c r="G2" s="39"/>
      <c r="H2" s="40"/>
      <c r="I2" s="33"/>
      <c r="K2" s="39" t="s">
        <v>18</v>
      </c>
      <c r="L2" s="39"/>
      <c r="M2" s="39"/>
      <c r="N2" s="39"/>
      <c r="O2" s="3"/>
      <c r="T2" s="34" t="s">
        <v>21</v>
      </c>
      <c r="U2" s="34"/>
      <c r="V2" s="34"/>
      <c r="W2" s="34"/>
    </row>
    <row r="3" spans="1:23" ht="15.75" x14ac:dyDescent="0.25">
      <c r="B3" s="11"/>
      <c r="C3" s="12"/>
      <c r="D3" s="19"/>
      <c r="E3" s="20"/>
      <c r="F3" s="3" t="s">
        <v>20</v>
      </c>
      <c r="G3" s="3" t="s">
        <v>16</v>
      </c>
      <c r="H3" s="15" t="s">
        <v>19</v>
      </c>
      <c r="I3" s="3"/>
      <c r="K3" s="3"/>
      <c r="L3" s="3" t="s">
        <v>20</v>
      </c>
      <c r="M3" s="3" t="s">
        <v>16</v>
      </c>
      <c r="N3" s="3" t="s">
        <v>19</v>
      </c>
      <c r="O3" s="3"/>
      <c r="T3" s="2"/>
      <c r="U3" s="2" t="s">
        <v>5</v>
      </c>
      <c r="V3" s="2" t="s">
        <v>6</v>
      </c>
      <c r="W3" s="2" t="s">
        <v>16</v>
      </c>
    </row>
    <row r="4" spans="1:23" x14ac:dyDescent="0.2">
      <c r="B4" s="11"/>
      <c r="C4" s="12"/>
      <c r="D4" s="19"/>
      <c r="E4" s="35" t="s">
        <v>29</v>
      </c>
      <c r="F4" s="3" t="s">
        <v>24</v>
      </c>
      <c r="G4" s="6">
        <f>10/100</f>
        <v>0.1</v>
      </c>
      <c r="H4" s="16">
        <v>0.1</v>
      </c>
      <c r="I4" s="36">
        <v>0.6</v>
      </c>
      <c r="K4" s="41" t="s">
        <v>29</v>
      </c>
      <c r="L4" s="3" t="s">
        <v>24</v>
      </c>
      <c r="M4" s="6">
        <f>10/100</f>
        <v>0.1</v>
      </c>
      <c r="N4" s="13">
        <v>0.1</v>
      </c>
      <c r="O4" s="36">
        <v>0.6</v>
      </c>
      <c r="T4" s="3" t="s">
        <v>0</v>
      </c>
      <c r="U4" s="3">
        <v>40</v>
      </c>
      <c r="V4" s="3">
        <v>23</v>
      </c>
      <c r="W4" s="4">
        <f>V4/U4</f>
        <v>0.57499999999999996</v>
      </c>
    </row>
    <row r="5" spans="1:23" x14ac:dyDescent="0.2">
      <c r="B5" s="11"/>
      <c r="C5" s="12"/>
      <c r="D5" s="19"/>
      <c r="E5" s="35"/>
      <c r="F5" s="3" t="s">
        <v>25</v>
      </c>
      <c r="G5" s="4">
        <f>40/100</f>
        <v>0.4</v>
      </c>
      <c r="H5" s="9">
        <f>G5*((V4+V5+V6)/(U4+U5+U6))</f>
        <v>0.23272727272727273</v>
      </c>
      <c r="I5" s="36"/>
      <c r="K5" s="41"/>
      <c r="L5" s="3" t="s">
        <v>25</v>
      </c>
      <c r="M5" s="4">
        <f>40/100</f>
        <v>0.4</v>
      </c>
      <c r="N5" s="5">
        <f>W8*M5</f>
        <v>0.2</v>
      </c>
      <c r="O5" s="36"/>
      <c r="T5" s="3" t="s">
        <v>1</v>
      </c>
      <c r="U5" s="3">
        <v>40</v>
      </c>
      <c r="V5" s="3">
        <v>27</v>
      </c>
      <c r="W5" s="4">
        <f t="shared" ref="W5:W21" si="0">V5/U5</f>
        <v>0.67500000000000004</v>
      </c>
    </row>
    <row r="6" spans="1:23" x14ac:dyDescent="0.2">
      <c r="B6" s="11"/>
      <c r="C6" s="12"/>
      <c r="D6" s="19"/>
      <c r="E6" s="35"/>
      <c r="F6" s="3" t="s">
        <v>26</v>
      </c>
      <c r="G6" s="6">
        <v>0.5</v>
      </c>
      <c r="H6" s="9">
        <f>G6*W9</f>
        <v>0.39500000000000002</v>
      </c>
      <c r="I6" s="36"/>
      <c r="K6" s="41"/>
      <c r="L6" s="3" t="s">
        <v>26</v>
      </c>
      <c r="M6" s="6">
        <v>0.5</v>
      </c>
      <c r="N6" s="5">
        <f>W10*M6</f>
        <v>0.39500000000000002</v>
      </c>
      <c r="O6" s="36"/>
      <c r="T6" s="3" t="s">
        <v>2</v>
      </c>
      <c r="U6" s="3">
        <v>30</v>
      </c>
      <c r="V6" s="3">
        <v>14</v>
      </c>
      <c r="W6" s="4">
        <f t="shared" si="0"/>
        <v>0.46666666666666667</v>
      </c>
    </row>
    <row r="7" spans="1:23" x14ac:dyDescent="0.2">
      <c r="B7" s="11"/>
      <c r="C7" s="12"/>
      <c r="D7" s="19"/>
      <c r="E7" s="35" t="s">
        <v>32</v>
      </c>
      <c r="F7" s="3" t="s">
        <v>24</v>
      </c>
      <c r="G7" s="4">
        <v>0.1</v>
      </c>
      <c r="H7" s="17">
        <v>0.1</v>
      </c>
      <c r="I7" s="36">
        <v>0.4</v>
      </c>
      <c r="K7" s="41" t="s">
        <v>32</v>
      </c>
      <c r="L7" s="3" t="s">
        <v>24</v>
      </c>
      <c r="M7" s="4">
        <v>0.1</v>
      </c>
      <c r="N7" s="4">
        <v>0.1</v>
      </c>
      <c r="O7" s="36">
        <v>0.4</v>
      </c>
      <c r="T7" s="3" t="s">
        <v>3</v>
      </c>
      <c r="U7" s="3">
        <v>30</v>
      </c>
      <c r="V7" s="3">
        <v>15</v>
      </c>
      <c r="W7" s="4">
        <f t="shared" si="0"/>
        <v>0.5</v>
      </c>
    </row>
    <row r="8" spans="1:23" x14ac:dyDescent="0.2">
      <c r="B8" s="11"/>
      <c r="C8" s="12"/>
      <c r="D8" s="19"/>
      <c r="E8" s="35"/>
      <c r="F8" s="3" t="s">
        <v>30</v>
      </c>
      <c r="G8" s="4">
        <v>0.4</v>
      </c>
      <c r="H8" s="18">
        <f>G8*((V12+V13+V14+V15+V16)/(U12+U13+U14+U15+U16))</f>
        <v>0.35733333333333334</v>
      </c>
      <c r="I8" s="36"/>
      <c r="K8" s="41"/>
      <c r="L8" s="3" t="s">
        <v>30</v>
      </c>
      <c r="M8" s="4">
        <v>0.4</v>
      </c>
      <c r="N8" s="14">
        <f>M8*((V17+V18)/(U17+U18))</f>
        <v>0.38400000000000001</v>
      </c>
      <c r="O8" s="36"/>
      <c r="T8" s="3" t="s">
        <v>4</v>
      </c>
      <c r="U8" s="3">
        <v>30</v>
      </c>
      <c r="V8" s="3">
        <v>15</v>
      </c>
      <c r="W8" s="4">
        <f t="shared" ref="W8:W10" si="1">V8/U8</f>
        <v>0.5</v>
      </c>
    </row>
    <row r="9" spans="1:23" x14ac:dyDescent="0.2">
      <c r="B9" s="11"/>
      <c r="C9" s="12"/>
      <c r="D9" s="19"/>
      <c r="E9" s="35"/>
      <c r="F9" s="3" t="s">
        <v>31</v>
      </c>
      <c r="G9" s="4">
        <v>0.5</v>
      </c>
      <c r="H9" s="9">
        <f>W20*G9</f>
        <v>0.25</v>
      </c>
      <c r="I9" s="36"/>
      <c r="K9" s="41"/>
      <c r="L9" s="3" t="s">
        <v>31</v>
      </c>
      <c r="M9" s="4">
        <v>0.5</v>
      </c>
      <c r="N9" s="5">
        <f>W21*M9</f>
        <v>0.5</v>
      </c>
      <c r="O9" s="36"/>
      <c r="T9" s="3" t="s">
        <v>17</v>
      </c>
      <c r="U9" s="3">
        <v>100</v>
      </c>
      <c r="V9" s="3">
        <v>79</v>
      </c>
      <c r="W9" s="4">
        <f t="shared" si="1"/>
        <v>0.79</v>
      </c>
    </row>
    <row r="10" spans="1:23" x14ac:dyDescent="0.2">
      <c r="B10" s="11"/>
      <c r="C10" s="12"/>
      <c r="D10" s="12"/>
      <c r="T10" s="25" t="s">
        <v>18</v>
      </c>
      <c r="U10" s="25">
        <v>100</v>
      </c>
      <c r="V10" s="25">
        <v>79</v>
      </c>
      <c r="W10" s="26">
        <f t="shared" si="1"/>
        <v>0.79</v>
      </c>
    </row>
    <row r="11" spans="1:23" x14ac:dyDescent="0.2">
      <c r="B11" s="12"/>
      <c r="C11" s="12"/>
      <c r="D11" s="12"/>
      <c r="F11" s="3" t="s">
        <v>27</v>
      </c>
      <c r="G11" s="6">
        <v>0.4</v>
      </c>
      <c r="H11" s="13">
        <f>I4*SUM(H4:H6)+I7*SUM(H7:H9)</f>
        <v>0.71956969696969697</v>
      </c>
      <c r="I11" s="7"/>
      <c r="J11" s="7"/>
      <c r="L11" s="3" t="s">
        <v>22</v>
      </c>
      <c r="M11" s="6">
        <v>0.6</v>
      </c>
      <c r="N11" s="13">
        <f>O4*SUM(N4:N6)+O7*SUM(N7:N9)</f>
        <v>0.81059999999999999</v>
      </c>
      <c r="T11" s="29"/>
      <c r="U11" s="29"/>
      <c r="V11" s="29"/>
      <c r="W11" s="30"/>
    </row>
    <row r="12" spans="1:23" x14ac:dyDescent="0.2">
      <c r="B12" s="12"/>
      <c r="C12" s="12"/>
      <c r="D12" s="12"/>
      <c r="T12" s="27" t="s">
        <v>7</v>
      </c>
      <c r="U12" s="27">
        <v>30</v>
      </c>
      <c r="V12" s="27">
        <v>17</v>
      </c>
      <c r="W12" s="28">
        <f t="shared" si="0"/>
        <v>0.56666666666666665</v>
      </c>
    </row>
    <row r="13" spans="1:23" x14ac:dyDescent="0.2">
      <c r="B13" s="12"/>
      <c r="C13" s="12"/>
      <c r="D13" s="12"/>
      <c r="H13" s="37" t="s">
        <v>28</v>
      </c>
      <c r="I13" s="37"/>
      <c r="J13" s="37"/>
      <c r="K13" s="32">
        <f>(H11*G11+N11*M11)*100</f>
        <v>77.418787878787882</v>
      </c>
      <c r="L13" s="8"/>
      <c r="T13" s="3" t="s">
        <v>8</v>
      </c>
      <c r="U13" s="3">
        <v>30</v>
      </c>
      <c r="V13" s="3">
        <v>30</v>
      </c>
      <c r="W13" s="4">
        <f t="shared" si="0"/>
        <v>1</v>
      </c>
    </row>
    <row r="14" spans="1:23" x14ac:dyDescent="0.2">
      <c r="B14" s="12"/>
      <c r="C14" s="12"/>
      <c r="D14" s="12"/>
      <c r="K14" s="24" cm="1">
        <f t="array" ref="K14">_xlfn.IFS(
  K13&gt;=96, 1,
  K13&gt;=91.5, 1.25,
   K13&gt;=87, 1.5,
   K13&gt;=82.5, 1.75,
  K13&gt;=82.21, 2,
  K13&gt;=78, 2.25,
  K13&gt;=73.5, 2.5,
   K13&gt;=69, 2.75,
 K13&gt;=64.5, 3,
  K13&gt;=60, 5,
 K13&lt;60, 5
)</f>
        <v>2.5</v>
      </c>
      <c r="T14" s="3" t="s">
        <v>9</v>
      </c>
      <c r="U14" s="3">
        <v>30</v>
      </c>
      <c r="V14" s="3">
        <v>30</v>
      </c>
      <c r="W14" s="4">
        <f t="shared" si="0"/>
        <v>1</v>
      </c>
    </row>
    <row r="15" spans="1:23" x14ac:dyDescent="0.2">
      <c r="B15" s="12"/>
      <c r="C15" s="12"/>
      <c r="D15" s="12"/>
      <c r="T15" s="3" t="s">
        <v>10</v>
      </c>
      <c r="U15" s="3">
        <v>30</v>
      </c>
      <c r="V15" s="3">
        <v>27</v>
      </c>
      <c r="W15" s="4">
        <f t="shared" si="0"/>
        <v>0.9</v>
      </c>
    </row>
    <row r="16" spans="1:23" x14ac:dyDescent="0.2">
      <c r="B16" s="12"/>
      <c r="C16" s="12"/>
      <c r="D16" s="12"/>
      <c r="T16" s="3" t="s">
        <v>11</v>
      </c>
      <c r="U16" s="3">
        <v>30</v>
      </c>
      <c r="V16" s="3">
        <v>30</v>
      </c>
      <c r="W16" s="4">
        <f t="shared" si="0"/>
        <v>1</v>
      </c>
    </row>
    <row r="17" spans="2:23" x14ac:dyDescent="0.2">
      <c r="B17" s="12"/>
      <c r="C17" s="12"/>
      <c r="D17" s="12"/>
      <c r="T17" s="3" t="s">
        <v>12</v>
      </c>
      <c r="U17" s="3">
        <v>20</v>
      </c>
      <c r="V17" s="3">
        <v>28</v>
      </c>
      <c r="W17" s="4">
        <f t="shared" si="0"/>
        <v>1.4</v>
      </c>
    </row>
    <row r="18" spans="2:23" x14ac:dyDescent="0.2">
      <c r="B18" s="12"/>
      <c r="C18" s="12"/>
      <c r="D18" s="12"/>
      <c r="T18" s="25" t="s">
        <v>13</v>
      </c>
      <c r="U18" s="25">
        <v>30</v>
      </c>
      <c r="V18" s="25">
        <v>20</v>
      </c>
      <c r="W18" s="26">
        <f t="shared" si="0"/>
        <v>0.66666666666666663</v>
      </c>
    </row>
    <row r="19" spans="2:23" x14ac:dyDescent="0.2">
      <c r="B19" s="10"/>
      <c r="C19" s="12"/>
      <c r="D19" s="12"/>
      <c r="T19" s="29"/>
      <c r="U19" s="29"/>
      <c r="V19" s="29"/>
      <c r="W19" s="30"/>
    </row>
    <row r="20" spans="2:23" x14ac:dyDescent="0.2">
      <c r="B20" s="10"/>
      <c r="C20" s="12"/>
      <c r="D20" s="12"/>
      <c r="T20" s="27" t="s">
        <v>14</v>
      </c>
      <c r="U20" s="27">
        <v>100</v>
      </c>
      <c r="V20" s="27">
        <v>50</v>
      </c>
      <c r="W20" s="28">
        <f t="shared" si="0"/>
        <v>0.5</v>
      </c>
    </row>
    <row r="21" spans="2:23" ht="15.75" x14ac:dyDescent="0.25">
      <c r="B21" s="31"/>
      <c r="C21" s="23"/>
      <c r="D21" s="23"/>
      <c r="T21" s="3" t="s">
        <v>15</v>
      </c>
      <c r="U21" s="3">
        <v>100</v>
      </c>
      <c r="V21" s="3">
        <v>100</v>
      </c>
      <c r="W21" s="4">
        <f t="shared" si="0"/>
        <v>1</v>
      </c>
    </row>
  </sheetData>
  <mergeCells count="12">
    <mergeCell ref="T2:W2"/>
    <mergeCell ref="E4:E6"/>
    <mergeCell ref="O4:O6"/>
    <mergeCell ref="O7:O9"/>
    <mergeCell ref="H13:J13"/>
    <mergeCell ref="E2:H2"/>
    <mergeCell ref="K2:N2"/>
    <mergeCell ref="E7:E9"/>
    <mergeCell ref="I4:I6"/>
    <mergeCell ref="I7:I9"/>
    <mergeCell ref="K4:K6"/>
    <mergeCell ref="K7:K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070B-9913-4D4E-AADB-58481EFC1FAB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42" t="s">
        <v>23</v>
      </c>
      <c r="B1" s="42"/>
      <c r="C1" s="4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Rhuel Laurente</dc:creator>
  <cp:lastModifiedBy>Monarch Renante Asis</cp:lastModifiedBy>
  <dcterms:created xsi:type="dcterms:W3CDTF">2024-12-11T13:46:17Z</dcterms:created>
  <dcterms:modified xsi:type="dcterms:W3CDTF">2025-06-13T13:18:46Z</dcterms:modified>
</cp:coreProperties>
</file>