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<sst xmlns="http://schemas.openxmlformats.org/spreadsheetml/2006/main" count="26" uniqueCount="26">
  <si>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>Category</t>
  </si>
  <si>
    <t>Item</t>
  </si>
  <si>
    <t>Your Score</t>
  </si>
  <si>
    <t>Total Points</t>
  </si>
  <si>
    <t>Weight</t>
  </si>
  <si>
    <t>Contribution</t>
  </si>
  <si>
    <t>ACTIVITIES (20%)</t>
  </si>
  <si>
    <t>A1</t>
  </si>
  <si>
    <t>A2</t>
  </si>
  <si>
    <t>A3</t>
  </si>
  <si>
    <t>A4</t>
  </si>
  <si>
    <t>A5</t>
  </si>
  <si>
    <t>A6</t>
  </si>
  <si>
    <t>QUIZZES (20%)</t>
  </si>
  <si>
    <t>Q1</t>
  </si>
  <si>
    <t>Q2</t>
  </si>
  <si>
    <t>Q3</t>
  </si>
  <si>
    <t>Q4</t>
  </si>
  <si>
    <t>PRACTICALS (30%)</t>
  </si>
  <si>
    <t>PE 1</t>
  </si>
  <si>
    <t>PE 2</t>
  </si>
  <si>
    <t>TERM EXAMS (30%)</t>
  </si>
  <si>
    <t>TE 1</t>
  </si>
  <si>
    <t>TE 2</t>
  </si>
  <si>
    <t>FINAL GRADE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</si>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</sst>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readingOrder="0" shrinkToFit="0" vertical="center" wrapText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7" displayName="Table1" name="Table1" id="1">
  <tableColumns count="6">
    <tableColumn name="Category" id="1"/>
    <tableColumn name="Item" id="2"/>
    <tableColumn name="Your Score" id="3"/>
    <tableColumn name="Total Points" id="4"/>
    <tableColumn name="Weight" id="5"/>
    <tableColumn name="Contribution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3" max="3" width="16.88"/>
    <col customWidth="1" min="4" max="4" width="17.63"/>
    <col customWidth="1" min="5" max="5" width="20.75"/>
    <col customWidth="1" min="6" max="6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>
        <v>100.0</v>
      </c>
      <c r="D2" s="3">
        <v>100.0</v>
      </c>
      <c r="E2" s="4">
        <f t="shared" ref="E2:E7" si="1">0.2/6</f>
        <v>0.03333333333</v>
      </c>
      <c r="F2" s="5">
        <f t="shared" ref="F2:F15" si="2">(C2/D2)*E2</f>
        <v>0.03333333333</v>
      </c>
    </row>
    <row r="3" ht="22.5" customHeight="1">
      <c r="A3" s="4"/>
      <c r="B3" s="3" t="s">
        <v>8</v>
      </c>
      <c r="C3" s="3">
        <v>97.0</v>
      </c>
      <c r="D3" s="3">
        <v>100.0</v>
      </c>
      <c r="E3" s="4">
        <f t="shared" si="1"/>
        <v>0.03333333333</v>
      </c>
      <c r="F3" s="5">
        <f t="shared" si="2"/>
        <v>0.03233333333</v>
      </c>
    </row>
    <row r="4" ht="22.5" customHeight="1">
      <c r="A4" s="4"/>
      <c r="B4" s="3" t="s">
        <v>9</v>
      </c>
      <c r="C4" s="3">
        <v>98.0</v>
      </c>
      <c r="D4" s="3">
        <v>100.0</v>
      </c>
      <c r="E4" s="4">
        <f t="shared" si="1"/>
        <v>0.03333333333</v>
      </c>
      <c r="F4" s="5">
        <f t="shared" si="2"/>
        <v>0.03266666667</v>
      </c>
    </row>
    <row r="5" ht="22.5" customHeight="1">
      <c r="A5" s="4"/>
      <c r="B5" s="3" t="s">
        <v>10</v>
      </c>
      <c r="C5" s="3">
        <v>65.0</v>
      </c>
      <c r="D5" s="3">
        <v>100.0</v>
      </c>
      <c r="E5" s="4">
        <f t="shared" si="1"/>
        <v>0.03333333333</v>
      </c>
      <c r="F5" s="5">
        <f t="shared" si="2"/>
        <v>0.02166666667</v>
      </c>
    </row>
    <row r="6" ht="22.5" customHeight="1">
      <c r="A6" s="4"/>
      <c r="B6" s="2" t="s">
        <v>11</v>
      </c>
      <c r="C6" s="2">
        <v>60.0</v>
      </c>
      <c r="D6" s="2">
        <v>100.0</v>
      </c>
      <c r="E6" s="4">
        <f t="shared" si="1"/>
        <v>0.03333333333</v>
      </c>
      <c r="F6" s="5">
        <f t="shared" si="2"/>
        <v>0.02</v>
      </c>
    </row>
    <row r="7" ht="22.5" customHeight="1">
      <c r="A7" s="4"/>
      <c r="B7" s="2" t="s">
        <v>12</v>
      </c>
      <c r="C7" s="2">
        <v>60.0</v>
      </c>
      <c r="D7" s="2">
        <v>100.0</v>
      </c>
      <c r="E7" s="4">
        <f t="shared" si="1"/>
        <v>0.03333333333</v>
      </c>
      <c r="F7" s="5">
        <f t="shared" si="2"/>
        <v>0.02</v>
      </c>
    </row>
    <row r="8" ht="22.5" customHeight="1">
      <c r="A8" s="2" t="s">
        <v>13</v>
      </c>
      <c r="B8" s="3" t="s">
        <v>14</v>
      </c>
      <c r="C8" s="3">
        <v>38.0</v>
      </c>
      <c r="D8" s="3">
        <v>100.0</v>
      </c>
      <c r="E8" s="4">
        <f t="shared" ref="E8:E11" si="3">0.2/4</f>
        <v>0.05</v>
      </c>
      <c r="F8" s="5">
        <f t="shared" si="2"/>
        <v>0.019</v>
      </c>
    </row>
    <row r="9" ht="22.5" customHeight="1">
      <c r="A9" s="4"/>
      <c r="B9" s="3" t="s">
        <v>15</v>
      </c>
      <c r="C9" s="3">
        <v>54.0</v>
      </c>
      <c r="D9" s="3">
        <v>100.0</v>
      </c>
      <c r="E9" s="4">
        <f t="shared" si="3"/>
        <v>0.05</v>
      </c>
      <c r="F9" s="5">
        <f t="shared" si="2"/>
        <v>0.027</v>
      </c>
    </row>
    <row r="10" ht="22.5" customHeight="1">
      <c r="A10" s="4"/>
      <c r="B10" s="3" t="s">
        <v>16</v>
      </c>
      <c r="C10" s="3">
        <v>22.0</v>
      </c>
      <c r="D10" s="3">
        <v>55.0</v>
      </c>
      <c r="E10" s="4">
        <f t="shared" si="3"/>
        <v>0.05</v>
      </c>
      <c r="F10" s="5">
        <f t="shared" si="2"/>
        <v>0.02</v>
      </c>
    </row>
    <row r="11" ht="22.5" customHeight="1">
      <c r="A11" s="4"/>
      <c r="B11" s="3" t="s">
        <v>17</v>
      </c>
      <c r="C11" s="3">
        <v>27.0</v>
      </c>
      <c r="D11" s="3">
        <v>60.0</v>
      </c>
      <c r="E11" s="4">
        <f t="shared" si="3"/>
        <v>0.05</v>
      </c>
      <c r="F11" s="5">
        <f t="shared" si="2"/>
        <v>0.0225</v>
      </c>
    </row>
    <row r="12" ht="22.5" customHeight="1">
      <c r="A12" s="2" t="s">
        <v>18</v>
      </c>
      <c r="B12" s="3" t="s">
        <v>19</v>
      </c>
      <c r="C12" s="3">
        <v>100.0</v>
      </c>
      <c r="D12" s="3">
        <v>100.0</v>
      </c>
      <c r="E12" s="3">
        <v>0.15</v>
      </c>
      <c r="F12" s="5">
        <f t="shared" si="2"/>
        <v>0.15</v>
      </c>
    </row>
    <row r="13" ht="22.5" customHeight="1">
      <c r="A13" s="4"/>
      <c r="B13" s="3" t="s">
        <v>20</v>
      </c>
      <c r="C13" s="3">
        <v>20.0</v>
      </c>
      <c r="D13" s="3">
        <v>200.0</v>
      </c>
      <c r="E13" s="3">
        <v>0.15</v>
      </c>
      <c r="F13" s="5">
        <f t="shared" si="2"/>
        <v>0.015</v>
      </c>
    </row>
    <row r="14" ht="22.5" customHeight="1">
      <c r="A14" s="2" t="s">
        <v>21</v>
      </c>
      <c r="B14" s="3" t="s">
        <v>22</v>
      </c>
      <c r="C14" s="3">
        <v>61.5</v>
      </c>
      <c r="D14" s="3">
        <v>100.0</v>
      </c>
      <c r="E14" s="3">
        <v>0.15</v>
      </c>
      <c r="F14" s="5">
        <f t="shared" si="2"/>
        <v>0.09225</v>
      </c>
    </row>
    <row r="15" ht="22.5" customHeight="1">
      <c r="A15" s="4"/>
      <c r="B15" s="3" t="s">
        <v>23</v>
      </c>
      <c r="C15" s="3">
        <v>42.0</v>
      </c>
      <c r="D15" s="3">
        <v>60.0</v>
      </c>
      <c r="E15" s="3">
        <v>0.15</v>
      </c>
      <c r="F15" s="5">
        <f t="shared" si="2"/>
        <v>0.105</v>
      </c>
    </row>
    <row r="16" ht="22.5" customHeight="1">
      <c r="A16" s="4"/>
      <c r="B16" s="4"/>
      <c r="C16" s="4"/>
      <c r="D16" s="4"/>
      <c r="E16" s="4"/>
      <c r="F16" s="5"/>
    </row>
    <row r="17" ht="22.5" customHeight="1">
      <c r="A17" s="2" t="s">
        <v>24</v>
      </c>
      <c r="B17" s="4"/>
      <c r="C17" s="4"/>
      <c r="D17" s="4"/>
      <c r="E17" s="2" t="s">
        <v>25</v>
      </c>
      <c r="F17" s="6">
        <f>SUM(F2:F15)</f>
        <v>0.61075</v>
      </c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</sheetData>
  <dataValidations>
    <dataValidation type="custom" allowBlank="1" showDropDown="1" sqref="F2:F17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